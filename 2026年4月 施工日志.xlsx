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525" firstSheet="18" activeTab="21"/>
  </bookViews>
  <sheets>
    <sheet name="2026年4月1日" sheetId="381" r:id="rId1"/>
    <sheet name="2026年4月2日" sheetId="382" r:id="rId2"/>
    <sheet name="2026年4月3日" sheetId="383" r:id="rId3"/>
    <sheet name="2026年4月4日" sheetId="384" r:id="rId4"/>
    <sheet name="2026年4月5日" sheetId="385" r:id="rId5"/>
    <sheet name="2026年4月6日" sheetId="386" r:id="rId6"/>
    <sheet name="2026年4月7日" sheetId="387" r:id="rId7"/>
    <sheet name="2026年4月8日" sheetId="388" r:id="rId8"/>
    <sheet name="2026年4月9日" sheetId="389" r:id="rId9"/>
    <sheet name="2026年4月10日" sheetId="390" r:id="rId10"/>
    <sheet name="2026年4月11日" sheetId="391" r:id="rId11"/>
    <sheet name="2026年4月12日" sheetId="392" r:id="rId12"/>
    <sheet name="2026年4月13日" sheetId="393" r:id="rId13"/>
    <sheet name="2026年4月14日" sheetId="394" r:id="rId14"/>
    <sheet name="2026年4月15日" sheetId="395" r:id="rId15"/>
    <sheet name="2026年4月16日" sheetId="396" r:id="rId16"/>
    <sheet name="2026年4月17日" sheetId="397" r:id="rId17"/>
    <sheet name="2026年4月18日" sheetId="398" r:id="rId18"/>
    <sheet name="2026年4月19日" sheetId="399" r:id="rId19"/>
    <sheet name="2026年4月20日" sheetId="400" r:id="rId20"/>
    <sheet name="2026年4月21日" sheetId="402" r:id="rId21"/>
    <sheet name="2026年4月22日" sheetId="403" r:id="rId22"/>
    <sheet name="2026年4月23日" sheetId="404" r:id="rId23"/>
    <sheet name="2026年4月24日" sheetId="405" r:id="rId24"/>
    <sheet name="2026年4月25日" sheetId="406" r:id="rId25"/>
    <sheet name="2026年4月26日" sheetId="407" r:id="rId26"/>
    <sheet name="2026年4月27日" sheetId="408" r:id="rId27"/>
    <sheet name="2026年4月28日" sheetId="409" r:id="rId28"/>
    <sheet name="2026年4月29日" sheetId="410" r:id="rId29"/>
    <sheet name="2026年4月30日" sheetId="412"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<sst xmlns="http://schemas.openxmlformats.org/spreadsheetml/2006/main" count="420" uniqueCount="116">
  <si>
    <t xml:space="preserve"> 施工日志</t>
  </si>
  <si>
    <t>工程代号：                                                        表格代号：MHCD-C.1.00.16-404</t>
  </si>
  <si>
    <t>工程名称</t>
  </si>
  <si>
    <t>大理机场三期改扩建项目土石方及地基处理工程(Ⅱ标段)</t>
  </si>
  <si>
    <t>施工单位
( 项目章)</t>
  </si>
  <si>
    <t>云南机场建设发展有限公司</t>
  </si>
  <si>
    <t>天气： 上午: 晴   /   下午:晴</t>
  </si>
  <si>
    <t>气温：25/6℃</t>
  </si>
  <si>
    <t>风力：3级</t>
  </si>
  <si>
    <t>一、基本内容（施工部位、出勤人员及人数）
  1、出勤人数：现场管理人员：5人；施工人员：73人
  2、施工部位：
        填方区：边坡二区、边坡一区。
        挖方区：挖方区三区。</t>
  </si>
  <si>
    <t>二、工作内容（施工内容及完成情况、会议内容、有关领导、部门的检查意见或决定）
  1、工地日常巡查、危险源排查。
  2、石料生产运输。
  3、挖方区爆破钻孔，毛料开采运输。
  4、填方区边坡二区填筑施工。
  5、DDC桩十二区施工合计成桩：6个，合计成桩米数：61.5。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</si>
  <si>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1、自检单位及三检单位对边坡一区第五十九层振碾进行固体体积率检测。</t>
  </si>
  <si>
    <t>四、其他情况（设计变更、任务交底、技术交底、安全技术交底；停水、停电、停工情况；机械故障及处理情况；冬雨季施工准备及措施执行情况；监理方、建设方提出问题整改情况等。）
无</t>
  </si>
  <si>
    <t xml:space="preserve"> 填写人 :                                                       项目技术负责人 :</t>
  </si>
  <si>
    <t>工程代号：                                                        表格代号：MHCD-C.1.00.16-405</t>
  </si>
  <si>
    <t>二、工作内容（施工内容及完成情况、会议内容、有关领导、部门的检查意见或决定）
  1、工地日常巡查、危险源排查。
  2、石料生产运输。
  3、挖方区爆破钻孔，毛料开采运输。
  4、填方区边坡二区填筑施工。
  5、DDC桩十二区施工合计成桩：10个，合计成桩米数：71.8。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</si>
  <si>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1、自检单位及三检单位对边坡一区第六十层振碾进行固体体积率检测。</t>
  </si>
  <si>
    <t>工程代号：                                                        表格代号：MHCD-C.1.00.16-406</t>
  </si>
  <si>
    <t>气温：26/6℃</t>
  </si>
  <si>
    <t>二、工作内容（施工内容及完成情况、会议内容、有关领导、部门的检查意见或决定）
  1、工地日常巡查、危险源排查。
  2、石料生产运输。
  3、挖方区爆破钻孔，毛料开采运输。
  4、填方区边坡二区填筑施工。
  5、DDC桩十二区施工合计成桩：8个，合计成桩米数：91.2。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</si>
  <si>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1、自检单位及三检单位对边坡一区第六十一层振碾进行固体体积率检测。</t>
  </si>
  <si>
    <t>工程代号：                                                        表格代号：MHCD-C.1.00.16-407</t>
  </si>
  <si>
    <t>气温：25/12℃</t>
  </si>
  <si>
    <t>二、工作内容（施工内容及完成情况、会议内容、有关领导、部门的检查意见或决定）
  1、工地日常巡查、危险源排查。
  2、石料生产运输。
  3、挖方区爆破钻孔，毛料开采运输。
  4、填方区边坡二区填筑施工。
  5、DDC桩十二区施工合计成桩：6个，合计成桩米数：88。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</si>
  <si>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1、自检单位及三检单位对边坡一区第六十二层振碾进行固体体积率检测。</t>
  </si>
  <si>
    <t>工程代号：                                                        表格代号：MHCD-C.1.00.16-408</t>
  </si>
  <si>
    <t>二、工作内容（施工内容及完成情况、会议内容、有关领导、部门的检查意见或决定）
  1、工地日常巡查、危险源排查。
  2、石料生产运输。
  3、挖方区爆破钻孔，毛料开采运输。
  4、填方区边坡二区填筑施工。
  5、DDC桩十二区施工合计成桩：5个，合计成桩米数：63.8。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</si>
  <si>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1、自检单位对反压平台十六层进行压实度检测。
2、自检单位及三检单位对边坡一区第六十三层振碾进行固体体积率检测。</t>
  </si>
  <si>
    <t>工程代号：                                                        表格代号：MHCD-C.1.00.16-409</t>
  </si>
  <si>
    <t>一、基本内容（施工部位、出勤人员及人数）
  1、出勤人数：现场管理人员：5人；施工人员：73人
  2、施工部位：
        填方区：边坡二区、边坡一区、反压平台。
        挖方区：挖方区三区。</t>
  </si>
  <si>
    <t>二、工作内容（施工内容及完成情况、会议内容、有关领导、部门的检查意见或决定）
  1、工地日常巡查、危险源排查。
  2、石料生产运输。
  3、挖方区爆破钻孔，毛料开采运输。
  4、填方区边坡二区填筑施工。
  5、DDC桩十二区施工合计成桩：8个，合计成桩米数：66.5。
  6、反压平台填筑施工。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</si>
  <si>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1、自检单位对反压平台十六层进行压实度检测。
2、自检单位及三检单位对边坡一区第六十四层振碾进行固体体积率检测。</t>
  </si>
  <si>
    <t>工程代号：                                                        表格代号：MHCD-C.1.00.16-410</t>
  </si>
  <si>
    <t>一、基本内容（施工部位、出勤人员及人数）
  1、出勤人数：现场管理人员：5人；施工人员：73人
  2、施工部位：
        填方区：边坡二区、边坡一区、反压平台。
        挖方区：挖方区三区、挖方区二区。</t>
  </si>
  <si>
    <t>二、工作内容（施工内容及完成情况、会议内容、有关领导、部门的检查意见或决定）
  1、工地日常巡查、危险源排查。
  2、石料生产运输。
  3、挖方区爆破钻孔，毛料开采运输。
  4、填方区边坡二区填筑施工。
  5、DDC桩十二区施工合计成桩：7个，合计成桩米数：85.9。
  6、反压平台填筑施工。
  7、下滑台C区坡面临时排水沟开挖。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</si>
  <si>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1、自检单位对反压平台十七层进行压实度检测。
2、三检单位对反压平台十七层进行压实度检测。
3、自检单位对土面一区第一层静碾（试验段）进行压实度检测。
4、自检单位及三检单位对边坡一区第六十五层振碾进行固体体积率检测。
5、自检单位对DDC桩施工十一区、十二区隔离土工布8cm垫层铺设（下层）进行固体体积率检测。
6、自检单位对边坡二区第三十层振碾进行固体体积率检测。</t>
  </si>
  <si>
    <t>工程代号：                                                        表格代号：MHCD-C.1.00.16-411</t>
  </si>
  <si>
    <t>二、工作内容（施工内容及完成情况、会议内容、有关领导、部门的检查意见或决定）
  1、工地日常巡查、危险源排查。
  2、石料生产运输。
  3、挖方区爆破钻孔，毛料开采运输。
  4、填方区边坡二区填筑施工。
  5、反压平台填筑施工。
  6、机场路运输道路道面清洗。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</si>
  <si>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1、三检单位对土面一区第一层静碾（试验段）进行压实度检测。
2、自检单位对土面一区第一层静碾（试验段）进行压实度检测。
3、三检单位对DDC桩施工十一区、十二区隔离土工布8cm垫层铺设（下层）进行固体体积率检测。
4、三检单位对边坡二区第三十层振碾进行固体体积率检测。
5、自检单位及三检单位对边坡一区第六十六层振碾进行固体体积率检测。
6、自检单位对边坡二区第三十一层振碾进行固体体积率检测。
7、自检单位对边坡二区第一层静碾进行固体体积率检测。</t>
  </si>
  <si>
    <t>工程代号：                                                        表格代号：MHCD-C.1.00.16-412</t>
  </si>
  <si>
    <t>气温：24/14℃</t>
  </si>
  <si>
    <t>二、工作内容（施工内容及完成情况、会议内容、有关领导、部门的检查意见或决定）
  1、工地日常巡查、危险源排查。
  2、石料生产运输。
  3、挖方区爆破钻孔，毛料开采运输。
  4、填方区边坡二区填筑施工。
  5、反压平台填筑施工。
  6、碎石桩生产施工共计：98根，合计米数：1487 。
  7、下滑台C区填筑体顶部精平。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</si>
  <si>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1、自检单位对土面一区第二层静碾进行压实度检测。
2、三检单位对边坡二区第三十一层振碾进行固体体积率检测。
3、三检单位对边坡二区第一层静碾进行固体体积率检测。
4、自检单位及三检单位对边坡一区第六十七层振碾进行固体体积率检测。
5、自检单位对边坡二区第二层静碾进行固体体积率检测。
6、自检单位对边坡二区第三十二层振碾进行固体体积率检测。</t>
  </si>
  <si>
    <t>工程代号：                                                        表格代号：MHCD-C.1.00.16-413</t>
  </si>
  <si>
    <t>二、工作内容（施工内容及完成情况、会议内容、有关领导、部门的检查意见或决定）
  1、工地日常巡查、危险源排查。
  2、石料生产运输。
  3、挖方区爆破钻孔，毛料开采运输。
  4、填方区边坡二区填筑施工。
  5、反压平台填筑施工。
  6、DDC桩十二区施工合计成桩：10个，合计成桩米数：180.1。
  7、碎石桩生产施工共计：90根，合计米数：1350 。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</si>
  <si>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1、三检单位对土面一区第二层静碾进行压实度检测。
2、自检单位对反压平台十八层进行压实度检测。
3、三检单位对反压平台十八层进行压实度检测。
4、自检单位对土面一区第三层振碾（试验段）进行压实度检测。
5、三检单位对边坡二区第二层静碾进行固体体积率检测。
6、三检单位对边坡二区第三十二层振碾进行固体体积率检测。
7、自检单位及三检单位对边坡一区第六十八层振碾进行固体体积率检测。
8、自检单位对边坡二区第三十三层振碾进行固体体积率检测。</t>
  </si>
  <si>
    <t>工程代号：                                                        表格代号：MHCD-C.1.00.16-414</t>
  </si>
  <si>
    <t>气温：23/6℃</t>
  </si>
  <si>
    <t>二、工作内容（施工内容及完成情况、会议内容、有关领导、部门的检查意见或决定）
  1、工地日常巡查、危险源排查。
  2、石料生产运输。
  3、挖方区爆破钻孔，毛料开采运输。
  4、填方区边坡二区填筑施工。
  5、反压平台填筑施工。
  6、边坡二区填筑点夯施工。
  7、挖方区爆破作业。
  8、碎石桩生产施工共计：95根，合计米数：1425 。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</si>
  <si>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1、三检单位对土面一区第三层振碾（试验段）进行压实度检测。
2、自检单位对反压平台十九层进行压实度检测。
3、三检单位对反压平台十九层进行压实度检测。
4、三检单位对边坡二区第三十三层振碾进行固体体积率检测。
5、自检单位对边坡二区第三十四层振碾进行固体体积率检测。</t>
  </si>
  <si>
    <t>工程代号：                                                        表格代号：MHCD-C.1.00.16-415</t>
  </si>
  <si>
    <t>二、工作内容（施工内容及完成情况、会议内容、有关领导、部门的检查意见或决定）
  1、工地日常巡查、危险源排查。
  2、石料生产运输。
  3、挖方区爆破钻孔，毛料开采运输。
  4、填方区边坡二区填筑施工。
  5、反压平台填筑施工。
  6、边坡二区填筑点夯施工。
  7、挖方区爆破作业。
  8、碎石桩生产施工共计：81根，合计米数：1215 。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</si>
  <si>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1、自检单位对反压平台二十层进行压实度检测。
2、三检单位对反压平台二十层进行压实度检测。
3、自检单位对土面一区第四层振碾进行压实度检测。
4、三检单位对边坡二区第三十四层振碾进行固体体积率检测。
5、自检单位对边坡二区第三十五层振碾进行固体体积率检测。</t>
  </si>
  <si>
    <t>工程代号：                                                        表格代号：MHCD-C.1.00.16-416</t>
  </si>
  <si>
    <t>气温：23/13℃</t>
  </si>
  <si>
    <t>二、工作内容（施工内容及完成情况、会议内容、有关领导、部门的检查意见或决定）
  1、工地日常巡查、危险源排查。
  2、石料生产运输。
  3、挖方区爆破钻孔，毛料开采运输。
  4、填方区边坡二区填筑施工。
  5、反压平台填筑施工。
  6、边坡二区填筑点夯施工及填筑体边坡修整。
  7、挖方区爆破作业。
  8、边坡三区碎石桩生产施工共计：158根，合计米数：1103.5m。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</si>
  <si>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1、三检单位对土面一区第四层振碾进行压实度检测。
2、自检单位对反压平台二十一层进行压实度检测。
3、三检单位对反压平台二十一层进行压实度检测。
4、自检单位对土面一区第五层振碾进行压实度检测。
5、三检单位对边坡二区第三十五层振碾进行固体体积率检测。
6、自检单位对边坡二区第三十六层振碾进行固体体积率检测。
7、自检单位对边坡一区第六十九层振碾进行固体体积率检测。</t>
  </si>
  <si>
    <t>工程代号：                                                        表格代号：MHCD-C.1.00.16-417</t>
  </si>
  <si>
    <t>二、工作内容（施工内容及完成情况、会议内容、有关领导、部门的检查意见或决定）
  1、工地日常巡查、危险源排查。
  2、石料生产运输。
  3、挖方区爆破钻孔，毛料开采运输。
  4、填方区边坡二区填筑施工。
  5、反压平台填筑施工。
  6、边坡二区填筑点夯施工。
  7、挖方区爆破作业。
  8、边坡三区碎石桩生产施工共计：171根，合计米数：1251.1m。
  9、施工现场内挡墙拆除。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</si>
  <si>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1、三检单位对土面一区第五层振碾进行压实度检测。
2、自检单位对反压平台二十二层进行压实度检测。
3、三检单位对反压平台二十二层进行压实度检测。
4、自检单位对土面一区第六层振碾进行压实度检测。
5、三检单位对边坡二区第三十六层振碾进行固体体积率检测。
6、三检单位对边坡一区第六十九层振碾进行固体体积率检测。
7、自检单位对边坡一区第七十层振碾进行固体体积率检测。</t>
  </si>
  <si>
    <t>工程代号：                                                        表格代号：MHCD-C.1.00.16-418</t>
  </si>
  <si>
    <t>天气： 上午: 晴   /   下午:多云</t>
  </si>
  <si>
    <t>气温：25/15℃</t>
  </si>
  <si>
    <t>二、工作内容（施工内容及完成情况、会议内容、有关领导、部门的检查意见或决定）
  1、工地日常巡查、危险源排查。
  2、石料生产运输。
  3、挖方区爆破钻孔，毛料开采运输。
  4、填方区边坡二区填筑施工。
  5、反压平台填筑施工。
  6、边坡二区填筑点夯施工。
  7、挖方区爆破作业。
  8、边坡三区碎石桩生产施工共计：9根，合计米数：73.6m。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</si>
  <si>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1、三检单位对土面一区第六层振碾进行压实度检测。
2、自检单位对反压平台二十三层进行压实度检测。
3、三检单位对反压平台二十三层进行压实度检测。
4、自检单位对土面一区第七层振碾进行压实度检测。
5、三检单位对边坡一区第七十层振碾进行固体体积率检测。
6、自检单位对边坡一区第七十一层振碾进行固体体积率检测。</t>
  </si>
  <si>
    <t>工程代号：                                                        表格代号：MHCD-C.1.00.16-419</t>
  </si>
  <si>
    <t>二、工作内容（施工内容及完成情况、会议内容、有关领导、部门的检查意见或决定）
  1、工地日常巡查、危险源排查。
  2、石料生产运输。
  3、挖方区爆破钻孔，毛料开采运输。
  4、填方区边坡二区填筑施工。
  5、反压平台填筑施工。
  6、边坡二区填筑点夯施工及填筑体边坡修整。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</si>
  <si>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1、三检单位对土面一区第七层振碾进行压实度检测。
2、自检单位对反压平台二十四层进行压实度检测。
3、三检单位对反压平台二十四层进行压实度检测。
4、自检单位对土面一区第八层振碾进行压实度检测。
5、三检单位对边坡一区第七十一层振碾进行固体体积率检测。
6、自检单位对边坡二区第一层静碾进行固体体积率检测。</t>
  </si>
  <si>
    <t>工程代号：                                                        表格代号：MHCD-C.1.00.16-420</t>
  </si>
  <si>
    <t>气温：25/8℃</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</si>
  <si>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6、边坡三区碎石桩生产施工共计：16根，合计米数：485m。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</si>
  <si>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1、三检单位对土面一区第八层振碾进行压实度检测。
2、自检单位对反压平台二十五层进行压实度检测。
3、三检单位对反压平台二十五层进行压实度检测。
4、自检单位对土面一区第九层振碾进行压实度检测。
5、三检单位对边坡二区第一层静碾进行固体体积率检测。
6、自检单位对边坡一区第七十二层振碾进行固体体积率检测。
7、自检单位对边坡二区强夯试验段进行固体体积率检测。</t>
  </si>
  <si>
    <t>工程代号：                                                        表格代号：MHCD-C.1.00.16-421</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</si>
  <si>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6、边坡三区碎石桩生产施工共计：26根，合计米数：487.5m。
  7、不停航施工围界线缆、光纤套管施工。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</si>
  <si>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1、三检单位对土面一区第九层振碾进行压实度检测。
2、自检单位对反压平台二十六层进行压实度检测。
3、三检单位对反压平台二十六层进行压实度检测。
4、自检单位对土面一区第十层振碾进行压实度检测。
5、三检单位对边坡一区第七十二层振碾进行固体体积率检测。
6、三检单位对边坡二区强夯试验段进行固体体积率检测。
7、自检单位及三检单位对边坡二区第十五层振碾进行固体体积率检测。
8、自检单位对边坡一区第七十三层振碾进行固体体积率检测。
9、自检单位对边坡二区第二层静碾进行固体体积率检测。</t>
  </si>
  <si>
    <t>工程代号：                                                        表格代号：MHCD-C.1.00.16-422</t>
  </si>
  <si>
    <t>气温：25/16℃</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</si>
  <si>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6、边坡三区碎石桩生产施工共计：30根，合计米数：484.5m。
  7、反压平台填筑施工。
  8、不停航施工围界线缆、光纤套管施工。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</si>
  <si>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1、三检单位对土面一区第十层振碾进行压实度检测。
2、自检单位对反压平台二十七层进行压实度检测。
3、三检单位对反压平台二十七层进行压实度检测。
4、自检单位对土面一区第十一层振碾进行压实度检测。
5、三检单位对边坡一区第七十三层振碾进行固体体积率检测。
6、三检单位对边坡二区第二层静碾进行固体体积率检测。
7、自检单位对边坡二区第十六层振碾进行固体体积率检测。
8、自检单位对边坡一区第七十四层振碾进行固体体积率检测。</t>
  </si>
  <si>
    <t>工程代号：                                                        表格代号：MHCD-C.1.00.16-423</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</si>
  <si>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6、反压平台填筑施工。
  7、不停航施工围界线缆、光纤套管施工。
  8、边坡三区碎石桩生产施工共计：33根，合计米数：489.9m。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</si>
  <si>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1、三检单位对土面一区第十一层振碾进行压实度检测。
2、自检单位对反压平台二十八层进行压实度检测。
3、三检单位对反压平台二十八层进行压实度检测。
4、自检单位对土面一区第十二层振碾进行压实度检测。
5、三检单位对边坡二区第十六层振碾进行固体体积率检测。
6、三检单位对边坡一区第七十四层振碾进行固体体积率检测。
7、自检单位对边坡二区第十七层振碾进行固体体积率检测。
8、自检单位对边坡一区第七十五层振碾进行固体体积率检测。</t>
  </si>
  <si>
    <t>工程代号：                                                        表格代号：MHCD-C.1.00.16-424</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</si>
  <si>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6、反压平台填筑施工。
  7、不停航施工围界线缆、光纤套管施工。
  8、边坡三区碎石桩生产施工共计：29根，合计米数：470m。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</si>
  <si>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1、三检单位对土面一区第十二层振碾进行压实度检测。
2、自检单位对反压平台二十九层进行压实度检测。
3、三检单位对反压平台二十九层进行压实度检测。
4、自检单位对土面一区第十三层振碾进行压实度检测。
5、三检单位对边坡二区第十七层振碾进行固体体积率检测。
6、三检单位对边坡一区第七十五层振碾进行固体体积率检测。
7、自检单位对边坡二区第十八层振碾进行固体体积率检测。
8、自检单位对边坡一区第七十六层振碾进行固体体积率检测。</t>
  </si>
  <si>
    <t>工程代号：                                                        表格代号：MHCD-C.1.00.16-425</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</si>
  <si>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6、反压平台填筑施工。
  7、不停航施工围界线缆、光纤套管施工。
  8、边坡三区碎石桩生产施工共计：30根，合计米数：593m。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</si>
  <si>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1、三检单位对土面一区第十三层振碾进行压实度检测。
2、自检单位对反压平台三十层进行压实度检测。
3、三检单位对反压平台三十层进行压实度检测。
4、自检单位对土面一区第十四层振碾进行压实度检测。
5、自检单位对土面一区第一层静碾进行压实度检测。
6、三检单位对边坡二区第十八层振碾进行固体体积率检测。
7、三检单位对边坡一区第七十六层振碾进行固体体积率检测。
8、自检单位对边坡二区第十九层振碾进行固体体积率检测。
9、自检单位对边坡一区第七十七层振碾进行固体体积率检测。</t>
  </si>
  <si>
    <t>工程代号：                                                        表格代号：MHCD-C.1.00.16-426</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</si>
  <si>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6、反压平台填筑施工。
  7、不停航施工围界线缆、光纤套管施工。
  8、边坡三区碎石桩生产施工共计：26根，合计米数：485m。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</si>
  <si>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1、三检单位对土面一区第十四层振碾进行压实度检测。
2、自检单位对反压平台三十一层进行压实度检测。
3、三检单位对反压平台三十一层进行压实度检测。
4、三检单位对土面一区第一层静碾进行压实度检测。
5、自检单位对土面一区第十五层振碾进行压实度检测。
6、自检单位对土面一区第二层静碾进行压实度检测。
7、三检单位对边坡二区第十九层振碾进行固体体积率检测。
8、三检单位对边坡一区第七十七层振碾进行固体体积率检测。
9、自检单位对边坡一区第七十八层振碾进行固体体积率检测。
10、自检单位对边坡二区第二十层振碾进行固体体积率检测。</t>
  </si>
  <si>
    <t>工程代号：                                                        表格代号：MHCD-C.1.00.16-427</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</si>
  <si>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6、反压平台填筑施工。
  7、不停航施工围界线缆、光纤套管施工。
  8、边坡三区碎石桩生产施工共计：25根，合计米数：491m。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</si>
  <si>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1、三检单位对土面一区第十五层振碾进行压实度检测。
2、三检单位对土面一区第二层静碾进行压实度检测。
3、自检单位对反压平台三十二层进行压实度检测。
4、三检单位对反压平台三十二层进行压实度检测。
5、三检单位对边坡一区第七十八层振碾进行固体体积率检测。
6、三检单位对边坡二区第二十层振碾进行固体体积率检测。</t>
  </si>
  <si>
    <t>工程代号：                                                        表格代号：MHCD-C.1.00.16-428</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</si>
  <si>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6、反压平台填筑施工。
  7、不停航施工围界线缆、光纤套管施工。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</si>
  <si>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1、自检单位对反压平台三十三层进行压实度检测。
2、三检单位对反压平台三十三层进行压实度检测。
3、三检单位对边坡二区第二十层振碾进行固体体积率检测。</t>
  </si>
  <si>
    <t>工程代号：                                                        表格代号：MHCD-C.1.00.16-429</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</si>
  <si>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1、自检单位对反压平台三十四层进行压实度检测。
2、三检单位对反压平台三十四层进行压实度检测。</t>
  </si>
  <si>
    <t>工程代号：                                                        表格代号：MHCD-C.1.00.16-430</t>
  </si>
  <si>
    <t>气温：26/15℃</t>
  </si>
  <si>
    <t>二、工作内容（施工内容及完成情况、会议内容、有关领导、部门的检查意见或决定）
  1、工地日常巡查、危险源排查。
  2、石料生产运输。
  3、挖方区爆破钻孔，毛料开采运输。
  4、填方区边坡二区填筑施工。
  5、边坡二区填筑点夯施工及填筑体边坡修整。
  6、反压平台填筑施工。
  7、不停航施工围界线缆、光纤套管施工。
  8、挖方区框格护坡开槽、砌筑施工。
  9、边坡三区碎石桩生产施工共计：21根，合计米数：339.5m。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</si>
  <si>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1、自检单位与三检单位对挖方区框格护坡砌筑砂浆取样进行立方体抗压强度检测。
2、自检单位对反压平台三十五层进行压实度检测。
3、三检单位对反压平台三十五层进行压实度检测。</t>
  </si>
  <si>
    <t>工程代号：                                                        表格代号：MHCD-C.1.00.16-431</t>
  </si>
  <si>
    <t>二、工作内容（施工内容及完成情况、会议内容、有关领导、部门的检查意见或决定）
  1、工地日常巡查、危险源排查。
  2、石料生产运输。
  3、边坡三区碎石桩生产施工共计：33根，合计米数：466.5m。
  4、填方区边坡二区填筑施工。
  5、边坡二区填筑点夯施工及填筑体边坡修整。
  6、反压平台填筑施工。
  7、不停航施工围界线缆、光纤套管施工。
  8、挖方区框格护坡开槽、砌筑施工。
  9、碎石桩15m区域土工布下垫层铺设。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</si>
  <si>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1、自检单位与三检单位对挖方区框格护坡砌筑砂浆取样进行立方体抗压强度检测。
2、自检单位对反压平台三十六层进行压实度检测。
3、三检单位对反压平台三十六层进行压实度检测。</t>
  </si>
  <si>
    <t>工程代号：                                                        表格代号：MHCD-C.1.00.16-432</t>
  </si>
  <si>
    <t>天气： 上午: 阴   /   下午:阵雨</t>
  </si>
  <si>
    <t>气温：22/15℃</t>
  </si>
  <si>
    <t>一、基本内容（施工部位、出勤人员及人数）
  1、出勤人数：现场管理人员：5人；施工人员：15人
  2、施工部位：
        填方区：边坡二区、边坡一区、反压平台。
        挖方区：挖方区三区、挖方区二区。</t>
  </si>
  <si>
    <t>二、工作内容（施工内容及完成情况、会议内容、有关领导、部门的检查意见或决定）
  1、边坡二区强夯施工。
  2、因天气原因，路面湿滑不具备运输条件，未进行填筑施工。
  3、边坡三区碎石桩生产施工共计：28根，合计米数：486.5m。
  4、机场路道路侧边凸起石块及人行道拐角处破除。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</si>
  <si>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1、自检单位对碎石桩施工一区土工布8cm垫层铺设（下层）进行固体体积率检测。</t>
  </si>
  <si>
    <t>工程代号：                                                        表格代号：MHCD-C.1.00.16-433</t>
  </si>
  <si>
    <t>气温：20/6℃</t>
  </si>
  <si>
    <t>二、工作内容（施工内容及完成情况、会议内容、有关领导、部门的检查意见或决定）
  1、工地日常巡查、危险源排查，边坡及临边防护正常、防汛排水沟正常。
  2、填方区边坡二区强夯施工。
  3、因天气原因，路面湿滑不具备运输条件，未进行填筑施工。
  施工机械：挖机7台，破碎机2台，孔钻机1台，装载机4台，拉运车37辆，洒水车1台，压路机2台，旋挖机2台，强夯机2台，振动沉管碎石桩机1台。</t>
  </si>
  <si>
    <t>三、检验和检查内容（隐蔽工程验收、材料、设备、机械、工器具进场、送检、设备安装调试、线缆敷设、接地、分项工程验收、第三方检测等有关记录；质量事故原因、方法、处理后的验收情况；安全检查及隐患处理情况；文明施工及场容情况等。）
1、三检单位对碎石桩施工一区土工布8cm垫层铺设（下层）进行固体体积率检测。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</si>
</sst>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804]aaaa;@"/>
  </numFmts>
  <fonts count="24">
    <font>
      <sz val="11"/>
      <color theme="1"/>
      <name val="宋体"/>
      <charset val="134"/>
      <scheme val="minor"/>
    </font>
    <font>
      <sz val="11"/>
      <color rgb="FF000000"/>
      <name val="Arial"/>
      <charset val="204"/>
    </font>
    <font>
      <b/>
      <sz val="14"/>
      <name val="宋体"/>
      <charset val="134"/>
    </font>
    <font>
      <sz val="10"/>
      <name val="宋体"/>
      <charset val="134"/>
    </font>
    <font>
      <sz val="10"/>
      <color rgb="FF000000"/>
      <name val="宋体"/>
      <charset val="20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231F20"/>
      </left>
      <right style="thin">
        <color rgb="FF231F20"/>
      </right>
      <top style="thin">
        <color rgb="FF231F20"/>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4">
    <xf numFmtId="0" fontId="0" fillId="0" borderId="0" xfId="0">
      <alignment vertical="center"/>
    </xf>
    <xf numFmtId="0" fontId="1" fillId="0" borderId="0" xfId="0" applyFont="1" applyFill="1" applyBorder="1" applyAlignment="1">
      <alignment horizontal="left" vertical="top" wrapText="1"/>
    </xf>
    <xf numFmtId="0" fontId="2" fillId="0" borderId="0" xfId="0" applyNumberFormat="1" applyFont="1" applyFill="1" applyAlignment="1">
      <alignment horizontal="center" vertical="center" wrapText="1"/>
    </xf>
    <xf numFmtId="0" fontId="3" fillId="0" borderId="0" xfId="0" applyNumberFormat="1" applyFont="1" applyFill="1" applyBorder="1" applyAlignment="1">
      <alignment horizontal="left" vertical="center" wrapText="1"/>
    </xf>
    <xf numFmtId="0" fontId="4" fillId="0" borderId="0" xfId="0" applyFont="1" applyFill="1" applyBorder="1" applyAlignment="1">
      <alignment horizontal="left" vertical="top"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left" vertical="center" wrapText="1" indent="1"/>
    </xf>
    <xf numFmtId="176" fontId="4" fillId="0" borderId="1" xfId="0" applyNumberFormat="1" applyFont="1" applyFill="1" applyBorder="1" applyAlignment="1">
      <alignment horizontal="left" vertical="center" wrapText="1"/>
    </xf>
    <xf numFmtId="177" fontId="3"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left" vertical="top" wrapText="1"/>
    </xf>
    <xf numFmtId="0" fontId="3" fillId="0" borderId="0" xfId="0" applyNumberFormat="1" applyFont="1" applyFill="1" applyBorder="1" applyAlignment="1">
      <alignment horizontal="left" vertical="center" wrapText="1"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3.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5.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6.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7.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8.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19.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0.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1.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2.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3.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4.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5.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6.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7.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8.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29.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drawings/drawing30.xml><?xml version="1.0" encoding="utf-8"?>
<xdr:wsDr xmlns:xdr="http://schemas.openxmlformats.org/drawingml/2006/spreadsheetDrawing" xmlns:r="http://schemas.openxmlformats.org/officeDocument/2006/relationships" xmlns:a="http://schemas.openxmlformats.org/drawingml/2006/main">
  <xdr:oneCellAnchor>
    <xdr:from>
      <xdr:col>0</xdr:col>
      <xdr:colOff>156845</xdr:colOff>
      <xdr:row>0</xdr:row>
      <xdr:rowOff>0</xdr:rowOff>
    </xdr:from>
    <xdr:ext cx="15875" cy="14604"/>
    <xdr:pic>
      <xdr:nvPicPr>
        <xdr:cNvPr id="2" name="image190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56845" y="0"/>
          <a:ext cx="15875" cy="13970"/>
        </a:xfrm>
        <a:prstGeom prst="rect">
          <a:avLst/>
        </a:prstGeom>
      </xdr:spPr>
    </xdr:pic>
    <xdr:clientData/>
  </xdr:oneCellAnchor>
  <xdr:oneCellAnchor>
    <xdr:from>
      <xdr:col>0</xdr:col>
      <xdr:colOff>26034</xdr:colOff>
      <xdr:row>0</xdr:row>
      <xdr:rowOff>0</xdr:rowOff>
    </xdr:from>
    <xdr:ext cx="15875" cy="14604"/>
    <xdr:pic>
      <xdr:nvPicPr>
        <xdr:cNvPr id="3" name="image190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5400" y="0"/>
          <a:ext cx="15875" cy="13970"/>
        </a:xfrm>
        <a:prstGeom prst="rect">
          <a:avLst/>
        </a:prstGeom>
      </xdr:spPr>
    </xdr:pic>
    <xdr:clientData/>
  </xdr:oneCellAnchor>
  <xdr:oneCellAnchor>
    <xdr:from>
      <xdr:col>4</xdr:col>
      <xdr:colOff>713740</xdr:colOff>
      <xdr:row>0</xdr:row>
      <xdr:rowOff>0</xdr:rowOff>
    </xdr:from>
    <xdr:ext cx="15875" cy="14604"/>
    <xdr:pic>
      <xdr:nvPicPr>
        <xdr:cNvPr id="4" name="image190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5382260" y="0"/>
          <a:ext cx="15875" cy="1397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5" workbookViewId="0">
      <selection activeCell="I7" sqref="I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1</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46113</v>
      </c>
      <c r="B5" s="8"/>
      <c r="C5" s="9">
        <f>A5</f>
        <v>46113</v>
      </c>
      <c r="D5" s="10" t="s">
        <v>6</v>
      </c>
      <c r="E5" s="10" t="s">
        <v>7</v>
      </c>
      <c r="F5" s="10" t="s">
        <v>8</v>
      </c>
    </row>
    <row r="6" s="1" customFormat="1" ht="115" customHeight="1" spans="1:6">
      <c r="A6" s="11" t="s">
        <v>9</v>
      </c>
      <c r="B6" s="12"/>
      <c r="C6" s="12"/>
      <c r="D6" s="12"/>
      <c r="E6" s="12"/>
      <c r="F6" s="12"/>
    </row>
    <row r="7" s="1" customFormat="1" ht="179" customHeight="1" spans="1:6">
      <c r="A7" s="11" t="s">
        <v>10</v>
      </c>
      <c r="B7" s="12"/>
      <c r="C7" s="12"/>
      <c r="D7" s="12"/>
      <c r="E7" s="12"/>
      <c r="F7" s="12"/>
    </row>
    <row r="8" s="1" customFormat="1" ht="102" customHeight="1" spans="1:6">
      <c r="A8" s="11" t="s">
        <v>11</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14</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46114</v>
      </c>
      <c r="B5" s="8"/>
      <c r="C5" s="9">
        <f>A5</f>
        <v>46114</v>
      </c>
      <c r="D5" s="10" t="s">
        <v>6</v>
      </c>
      <c r="E5" s="10" t="s">
        <v>7</v>
      </c>
      <c r="F5" s="10" t="s">
        <v>8</v>
      </c>
    </row>
    <row r="6" s="1" customFormat="1" ht="115" customHeight="1" spans="1:6">
      <c r="A6" s="11" t="s">
        <v>9</v>
      </c>
      <c r="B6" s="12"/>
      <c r="C6" s="12"/>
      <c r="D6" s="12"/>
      <c r="E6" s="12"/>
      <c r="F6" s="12"/>
    </row>
    <row r="7" s="1" customFormat="1" ht="179" customHeight="1" spans="1:6">
      <c r="A7" s="11" t="s">
        <v>15</v>
      </c>
      <c r="B7" s="12"/>
      <c r="C7" s="12"/>
      <c r="D7" s="12"/>
      <c r="E7" s="12"/>
      <c r="F7" s="12"/>
    </row>
    <row r="8" s="1" customFormat="1" ht="102" customHeight="1" spans="1:6">
      <c r="A8" s="11" t="s">
        <v>16</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3" workbookViewId="0">
      <selection activeCell="I7" sqref="I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17</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46115</v>
      </c>
      <c r="B5" s="8"/>
      <c r="C5" s="9">
        <f>A5</f>
        <v>46115</v>
      </c>
      <c r="D5" s="10" t="s">
        <v>6</v>
      </c>
      <c r="E5" s="10" t="s">
        <v>18</v>
      </c>
      <c r="F5" s="10" t="s">
        <v>8</v>
      </c>
    </row>
    <row r="6" s="1" customFormat="1" ht="115" customHeight="1" spans="1:6">
      <c r="A6" s="11" t="s">
        <v>9</v>
      </c>
      <c r="B6" s="12"/>
      <c r="C6" s="12"/>
      <c r="D6" s="12"/>
      <c r="E6" s="12"/>
      <c r="F6" s="12"/>
    </row>
    <row r="7" s="1" customFormat="1" ht="179" customHeight="1" spans="1:6">
      <c r="A7" s="11" t="s">
        <v>19</v>
      </c>
      <c r="B7" s="12"/>
      <c r="C7" s="12"/>
      <c r="D7" s="12"/>
      <c r="E7" s="12"/>
      <c r="F7" s="12"/>
    </row>
    <row r="8" s="1" customFormat="1" ht="102" customHeight="1" spans="1:6">
      <c r="A8" s="11" t="s">
        <v>20</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21</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46116</v>
      </c>
      <c r="B5" s="8"/>
      <c r="C5" s="9">
        <f>A5</f>
        <v>46116</v>
      </c>
      <c r="D5" s="10" t="s">
        <v>6</v>
      </c>
      <c r="E5" s="10" t="s">
        <v>22</v>
      </c>
      <c r="F5" s="10" t="s">
        <v>8</v>
      </c>
    </row>
    <row r="6" s="1" customFormat="1" ht="115" customHeight="1" spans="1:6">
      <c r="A6" s="11" t="s">
        <v>9</v>
      </c>
      <c r="B6" s="12"/>
      <c r="C6" s="12"/>
      <c r="D6" s="12"/>
      <c r="E6" s="12"/>
      <c r="F6" s="12"/>
    </row>
    <row r="7" s="1" customFormat="1" ht="179" customHeight="1" spans="1:6">
      <c r="A7" s="11" t="s">
        <v>23</v>
      </c>
      <c r="B7" s="12"/>
      <c r="C7" s="12"/>
      <c r="D7" s="12"/>
      <c r="E7" s="12"/>
      <c r="F7" s="12"/>
    </row>
    <row r="8" s="1" customFormat="1" ht="102" customHeight="1" spans="1:6">
      <c r="A8" s="11" t="s">
        <v>24</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3" workbookViewId="0">
      <selection activeCell="H7" sqref="H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25</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46117</v>
      </c>
      <c r="B5" s="8"/>
      <c r="C5" s="9">
        <f>A5</f>
        <v>46117</v>
      </c>
      <c r="D5" s="10" t="s">
        <v>6</v>
      </c>
      <c r="E5" s="10" t="s">
        <v>22</v>
      </c>
      <c r="F5" s="10" t="s">
        <v>8</v>
      </c>
    </row>
    <row r="6" s="1" customFormat="1" ht="115" customHeight="1" spans="1:6">
      <c r="A6" s="11" t="s">
        <v>9</v>
      </c>
      <c r="B6" s="12"/>
      <c r="C6" s="12"/>
      <c r="D6" s="12"/>
      <c r="E6" s="12"/>
      <c r="F6" s="12"/>
    </row>
    <row r="7" s="1" customFormat="1" ht="179" customHeight="1" spans="1:6">
      <c r="A7" s="11" t="s">
        <v>26</v>
      </c>
      <c r="B7" s="12"/>
      <c r="C7" s="12"/>
      <c r="D7" s="12"/>
      <c r="E7" s="12"/>
      <c r="F7" s="12"/>
    </row>
    <row r="8" s="1" customFormat="1" ht="102" customHeight="1" spans="1:6">
      <c r="A8" s="11" t="s">
        <v>27</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28</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46118</v>
      </c>
      <c r="B5" s="8"/>
      <c r="C5" s="9">
        <f>A5</f>
        <v>46118</v>
      </c>
      <c r="D5" s="10" t="s">
        <v>6</v>
      </c>
      <c r="E5" s="10" t="s">
        <v>22</v>
      </c>
      <c r="F5" s="10" t="s">
        <v>8</v>
      </c>
    </row>
    <row r="6" s="1" customFormat="1" ht="115" customHeight="1" spans="1:6">
      <c r="A6" s="11" t="s">
        <v>29</v>
      </c>
      <c r="B6" s="12"/>
      <c r="C6" s="12"/>
      <c r="D6" s="12"/>
      <c r="E6" s="12"/>
      <c r="F6" s="12"/>
    </row>
    <row r="7" s="1" customFormat="1" ht="179" customHeight="1" spans="1:6">
      <c r="A7" s="11" t="s">
        <v>30</v>
      </c>
      <c r="B7" s="12"/>
      <c r="C7" s="12"/>
      <c r="D7" s="12"/>
      <c r="E7" s="12"/>
      <c r="F7" s="12"/>
    </row>
    <row r="8" s="1" customFormat="1" ht="102" customHeight="1" spans="1:6">
      <c r="A8" s="11" t="s">
        <v>31</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5" workbookViewId="0">
      <selection activeCell="H7" sqref="H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32</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46119</v>
      </c>
      <c r="B5" s="8"/>
      <c r="C5" s="9">
        <f>A5</f>
        <v>46119</v>
      </c>
      <c r="D5" s="10" t="s">
        <v>6</v>
      </c>
      <c r="E5" s="10" t="s">
        <v>22</v>
      </c>
      <c r="F5" s="10" t="s">
        <v>8</v>
      </c>
    </row>
    <row r="6" s="1" customFormat="1" ht="115" customHeight="1" spans="1:6">
      <c r="A6" s="11" t="s">
        <v>33</v>
      </c>
      <c r="B6" s="12"/>
      <c r="C6" s="12"/>
      <c r="D6" s="12"/>
      <c r="E6" s="12"/>
      <c r="F6" s="12"/>
    </row>
    <row r="7" s="1" customFormat="1" ht="158" customHeight="1" spans="1:6">
      <c r="A7" s="11" t="s">
        <v>34</v>
      </c>
      <c r="B7" s="12"/>
      <c r="C7" s="12"/>
      <c r="D7" s="12"/>
      <c r="E7" s="12"/>
      <c r="F7" s="12"/>
    </row>
    <row r="8" s="1" customFormat="1" ht="120" customHeight="1" spans="1:6">
      <c r="A8" s="11" t="s">
        <v>35</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5" workbookViewId="0">
      <selection activeCell="H7" sqref="H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36</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46120</v>
      </c>
      <c r="B5" s="8"/>
      <c r="C5" s="9">
        <f>A5</f>
        <v>46120</v>
      </c>
      <c r="D5" s="10" t="s">
        <v>6</v>
      </c>
      <c r="E5" s="10" t="s">
        <v>22</v>
      </c>
      <c r="F5" s="10" t="s">
        <v>8</v>
      </c>
    </row>
    <row r="6" s="1" customFormat="1" ht="115" customHeight="1" spans="1:6">
      <c r="A6" s="11" t="s">
        <v>33</v>
      </c>
      <c r="B6" s="12"/>
      <c r="C6" s="12"/>
      <c r="D6" s="12"/>
      <c r="E6" s="12"/>
      <c r="F6" s="12"/>
    </row>
    <row r="7" s="1" customFormat="1" ht="150" customHeight="1" spans="1:6">
      <c r="A7" s="11" t="s">
        <v>37</v>
      </c>
      <c r="B7" s="12"/>
      <c r="C7" s="12"/>
      <c r="D7" s="12"/>
      <c r="E7" s="12"/>
      <c r="F7" s="12"/>
    </row>
    <row r="8" s="1" customFormat="1" ht="136" customHeight="1" spans="1:6">
      <c r="A8" s="11" t="s">
        <v>38</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39</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46121</v>
      </c>
      <c r="B5" s="8"/>
      <c r="C5" s="9">
        <f>A5</f>
        <v>46121</v>
      </c>
      <c r="D5" s="10" t="s">
        <v>6</v>
      </c>
      <c r="E5" s="10" t="s">
        <v>40</v>
      </c>
      <c r="F5" s="10" t="s">
        <v>8</v>
      </c>
    </row>
    <row r="6" s="1" customFormat="1" ht="115" customHeight="1" spans="1:6">
      <c r="A6" s="11" t="s">
        <v>33</v>
      </c>
      <c r="B6" s="12"/>
      <c r="C6" s="12"/>
      <c r="D6" s="12"/>
      <c r="E6" s="12"/>
      <c r="F6" s="12"/>
    </row>
    <row r="7" s="1" customFormat="1" ht="145" customHeight="1" spans="1:6">
      <c r="A7" s="11" t="s">
        <v>41</v>
      </c>
      <c r="B7" s="12"/>
      <c r="C7" s="12"/>
      <c r="D7" s="12"/>
      <c r="E7" s="12"/>
      <c r="F7" s="12"/>
    </row>
    <row r="8" s="1" customFormat="1" ht="143" customHeight="1" spans="1:6">
      <c r="A8" s="11" t="s">
        <v>42</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43</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46122</v>
      </c>
      <c r="B5" s="8"/>
      <c r="C5" s="9">
        <f>A5</f>
        <v>46122</v>
      </c>
      <c r="D5" s="10" t="s">
        <v>6</v>
      </c>
      <c r="E5" s="10" t="s">
        <v>22</v>
      </c>
      <c r="F5" s="10" t="s">
        <v>8</v>
      </c>
    </row>
    <row r="6" s="1" customFormat="1" ht="115" customHeight="1" spans="1:6">
      <c r="A6" s="11" t="s">
        <v>33</v>
      </c>
      <c r="B6" s="12"/>
      <c r="C6" s="12"/>
      <c r="D6" s="12"/>
      <c r="E6" s="12"/>
      <c r="F6" s="12"/>
    </row>
    <row r="7" s="1" customFormat="1" ht="179" customHeight="1" spans="1:6">
      <c r="A7" s="11" t="s">
        <v>44</v>
      </c>
      <c r="B7" s="12"/>
      <c r="C7" s="12"/>
      <c r="D7" s="12"/>
      <c r="E7" s="12"/>
      <c r="F7" s="12"/>
    </row>
    <row r="8" s="1" customFormat="1" ht="145" customHeight="1" spans="1:6">
      <c r="A8" s="11" t="s">
        <v>45</v>
      </c>
      <c r="B8" s="12"/>
      <c r="C8" s="12"/>
      <c r="D8" s="12"/>
      <c r="E8" s="12"/>
      <c r="F8" s="12"/>
    </row>
    <row r="9" s="1" customFormat="1" ht="66"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I7" sqref="I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46</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46123</v>
      </c>
      <c r="B5" s="8"/>
      <c r="C5" s="9">
        <f>A5</f>
        <v>46123</v>
      </c>
      <c r="D5" s="10" t="s">
        <v>6</v>
      </c>
      <c r="E5" s="10" t="s">
        <v>47</v>
      </c>
      <c r="F5" s="10" t="s">
        <v>8</v>
      </c>
    </row>
    <row r="6" s="1" customFormat="1" ht="115" customHeight="1" spans="1:6">
      <c r="A6" s="11" t="s">
        <v>33</v>
      </c>
      <c r="B6" s="12"/>
      <c r="C6" s="12"/>
      <c r="D6" s="12"/>
      <c r="E6" s="12"/>
      <c r="F6" s="12"/>
    </row>
    <row r="7" s="1" customFormat="1" ht="179" customHeight="1" spans="1:6">
      <c r="A7" s="11" t="s">
        <v>48</v>
      </c>
      <c r="B7" s="12"/>
      <c r="C7" s="12"/>
      <c r="D7" s="12"/>
      <c r="E7" s="12"/>
      <c r="F7" s="12"/>
    </row>
    <row r="8" s="1" customFormat="1" ht="102" customHeight="1" spans="1:6">
      <c r="A8" s="11" t="s">
        <v>49</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8"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50</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46124</v>
      </c>
      <c r="B5" s="8"/>
      <c r="C5" s="9">
        <f>A5</f>
        <v>46124</v>
      </c>
      <c r="D5" s="10" t="s">
        <v>6</v>
      </c>
      <c r="E5" s="10" t="s">
        <v>40</v>
      </c>
      <c r="F5" s="10" t="s">
        <v>8</v>
      </c>
    </row>
    <row r="6" s="1" customFormat="1" ht="115" customHeight="1" spans="1:6">
      <c r="A6" s="11" t="s">
        <v>33</v>
      </c>
      <c r="B6" s="12"/>
      <c r="C6" s="12"/>
      <c r="D6" s="12"/>
      <c r="E6" s="12"/>
      <c r="F6" s="12"/>
    </row>
    <row r="7" s="1" customFormat="1" ht="179" customHeight="1" spans="1:6">
      <c r="A7" s="11" t="s">
        <v>51</v>
      </c>
      <c r="B7" s="12"/>
      <c r="C7" s="12"/>
      <c r="D7" s="12"/>
      <c r="E7" s="12"/>
      <c r="F7" s="12"/>
    </row>
    <row r="8" s="1" customFormat="1" ht="102" customHeight="1" spans="1:6">
      <c r="A8" s="11" t="s">
        <v>52</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8" sqref="A8:F8"/>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53</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46125</v>
      </c>
      <c r="B5" s="8"/>
      <c r="C5" s="9">
        <f>A5</f>
        <v>46125</v>
      </c>
      <c r="D5" s="10" t="s">
        <v>6</v>
      </c>
      <c r="E5" s="10" t="s">
        <v>54</v>
      </c>
      <c r="F5" s="10" t="s">
        <v>8</v>
      </c>
    </row>
    <row r="6" s="1" customFormat="1" ht="115" customHeight="1" spans="1:6">
      <c r="A6" s="11" t="s">
        <v>33</v>
      </c>
      <c r="B6" s="12"/>
      <c r="C6" s="12"/>
      <c r="D6" s="12"/>
      <c r="E6" s="12"/>
      <c r="F6" s="12"/>
    </row>
    <row r="7" s="1" customFormat="1" ht="149" customHeight="1" spans="1:6">
      <c r="A7" s="11" t="s">
        <v>55</v>
      </c>
      <c r="B7" s="12"/>
      <c r="C7" s="12"/>
      <c r="D7" s="12"/>
      <c r="E7" s="12"/>
      <c r="F7" s="12"/>
    </row>
    <row r="8" s="1" customFormat="1" ht="139" customHeight="1" spans="1:6">
      <c r="A8" s="11" t="s">
        <v>56</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57</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46126</v>
      </c>
      <c r="B5" s="8"/>
      <c r="C5" s="9">
        <f>A5</f>
        <v>46126</v>
      </c>
      <c r="D5" s="10" t="s">
        <v>6</v>
      </c>
      <c r="E5" s="10" t="s">
        <v>40</v>
      </c>
      <c r="F5" s="10" t="s">
        <v>8</v>
      </c>
    </row>
    <row r="6" s="1" customFormat="1" ht="115" customHeight="1" spans="1:6">
      <c r="A6" s="11" t="s">
        <v>33</v>
      </c>
      <c r="B6" s="12"/>
      <c r="C6" s="12"/>
      <c r="D6" s="12"/>
      <c r="E6" s="12"/>
      <c r="F6" s="12"/>
    </row>
    <row r="7" s="1" customFormat="1" ht="162" customHeight="1" spans="1:6">
      <c r="A7" s="11" t="s">
        <v>58</v>
      </c>
      <c r="B7" s="12"/>
      <c r="C7" s="12"/>
      <c r="D7" s="12"/>
      <c r="E7" s="12"/>
      <c r="F7" s="12"/>
    </row>
    <row r="8" s="1" customFormat="1" ht="133" customHeight="1" spans="1:6">
      <c r="A8" s="11" t="s">
        <v>59</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60</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46127</v>
      </c>
      <c r="B5" s="8"/>
      <c r="C5" s="9">
        <f>A5</f>
        <v>46127</v>
      </c>
      <c r="D5" s="10" t="s">
        <v>61</v>
      </c>
      <c r="E5" s="10" t="s">
        <v>62</v>
      </c>
      <c r="F5" s="10" t="s">
        <v>8</v>
      </c>
    </row>
    <row r="6" s="1" customFormat="1" ht="115" customHeight="1" spans="1:6">
      <c r="A6" s="11" t="s">
        <v>33</v>
      </c>
      <c r="B6" s="12"/>
      <c r="C6" s="12"/>
      <c r="D6" s="12"/>
      <c r="E6" s="12"/>
      <c r="F6" s="12"/>
    </row>
    <row r="7" s="1" customFormat="1" ht="146" customHeight="1" spans="1:6">
      <c r="A7" s="11" t="s">
        <v>63</v>
      </c>
      <c r="B7" s="12"/>
      <c r="C7" s="12"/>
      <c r="D7" s="12"/>
      <c r="E7" s="12"/>
      <c r="F7" s="12"/>
    </row>
    <row r="8" s="1" customFormat="1" ht="144" customHeight="1" spans="1:6">
      <c r="A8" s="11" t="s">
        <v>64</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65</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46128</v>
      </c>
      <c r="B5" s="8"/>
      <c r="C5" s="9">
        <f>A5</f>
        <v>46128</v>
      </c>
      <c r="D5" s="10" t="s">
        <v>6</v>
      </c>
      <c r="E5" s="10" t="s">
        <v>7</v>
      </c>
      <c r="F5" s="10" t="s">
        <v>8</v>
      </c>
    </row>
    <row r="6" s="1" customFormat="1" ht="115" customHeight="1" spans="1:6">
      <c r="A6" s="11" t="s">
        <v>33</v>
      </c>
      <c r="B6" s="12"/>
      <c r="C6" s="12"/>
      <c r="D6" s="12"/>
      <c r="E6" s="12"/>
      <c r="F6" s="12"/>
    </row>
    <row r="7" s="1" customFormat="1" ht="134" customHeight="1" spans="1:6">
      <c r="A7" s="11" t="s">
        <v>66</v>
      </c>
      <c r="B7" s="12"/>
      <c r="C7" s="12"/>
      <c r="D7" s="12"/>
      <c r="E7" s="12"/>
      <c r="F7" s="12"/>
    </row>
    <row r="8" s="1" customFormat="1" ht="149" customHeight="1" spans="1:6">
      <c r="A8" s="11" t="s">
        <v>67</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68</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46129</v>
      </c>
      <c r="B5" s="8"/>
      <c r="C5" s="9">
        <f>A5</f>
        <v>46129</v>
      </c>
      <c r="D5" s="10" t="s">
        <v>6</v>
      </c>
      <c r="E5" s="10" t="s">
        <v>69</v>
      </c>
      <c r="F5" s="10" t="s">
        <v>8</v>
      </c>
    </row>
    <row r="6" s="1" customFormat="1" ht="115" customHeight="1" spans="1:6">
      <c r="A6" s="11" t="s">
        <v>33</v>
      </c>
      <c r="B6" s="12"/>
      <c r="C6" s="12"/>
      <c r="D6" s="12"/>
      <c r="E6" s="12"/>
      <c r="F6" s="12"/>
    </row>
    <row r="7" s="1" customFormat="1" ht="133" customHeight="1" spans="1:6">
      <c r="A7" s="11" t="s">
        <v>70</v>
      </c>
      <c r="B7" s="12"/>
      <c r="C7" s="12"/>
      <c r="D7" s="12"/>
      <c r="E7" s="12"/>
      <c r="F7" s="12"/>
    </row>
    <row r="8" s="1" customFormat="1" ht="148" customHeight="1" spans="1:6">
      <c r="A8" s="11" t="s">
        <v>71</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tabSelected="1" view="pageBreakPreview" zoomScale="160" zoomScaleNormal="100" topLeftCell="A7" workbookViewId="0">
      <selection activeCell="I9" sqref="I9"/>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72</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46130</v>
      </c>
      <c r="B5" s="8"/>
      <c r="C5" s="9">
        <f>A5</f>
        <v>46130</v>
      </c>
      <c r="D5" s="10" t="s">
        <v>61</v>
      </c>
      <c r="E5" s="10" t="s">
        <v>62</v>
      </c>
      <c r="F5" s="10" t="s">
        <v>8</v>
      </c>
    </row>
    <row r="6" s="1" customFormat="1" ht="115" customHeight="1" spans="1:6">
      <c r="A6" s="11" t="s">
        <v>33</v>
      </c>
      <c r="B6" s="12"/>
      <c r="C6" s="12"/>
      <c r="D6" s="12"/>
      <c r="E6" s="12"/>
      <c r="F6" s="12"/>
    </row>
    <row r="7" s="1" customFormat="1" ht="139" customHeight="1" spans="1:6">
      <c r="A7" s="11" t="s">
        <v>73</v>
      </c>
      <c r="B7" s="12"/>
      <c r="C7" s="12"/>
      <c r="D7" s="12"/>
      <c r="E7" s="12"/>
      <c r="F7" s="12"/>
    </row>
    <row r="8" s="1" customFormat="1" ht="167" customHeight="1" spans="1:6">
      <c r="A8" s="11" t="s">
        <v>74</v>
      </c>
      <c r="B8" s="12"/>
      <c r="C8" s="12"/>
      <c r="D8" s="12"/>
      <c r="E8" s="12"/>
      <c r="F8" s="12"/>
    </row>
    <row r="9" s="1" customFormat="1" ht="74"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tabSelected="1" view="pageBreakPreview" zoomScale="160" zoomScaleNormal="100" topLeftCell="A7" workbookViewId="0">
      <selection activeCell="I9" sqref="I9"/>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75</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46131</v>
      </c>
      <c r="B5" s="8"/>
      <c r="C5" s="9">
        <f>A5</f>
        <v>46131</v>
      </c>
      <c r="D5" s="10" t="s">
        <v>6</v>
      </c>
      <c r="E5" s="10" t="s">
        <v>76</v>
      </c>
      <c r="F5" s="10" t="s">
        <v>8</v>
      </c>
    </row>
    <row r="6" s="1" customFormat="1" ht="115" customHeight="1" spans="1:6">
      <c r="A6" s="11" t="s">
        <v>33</v>
      </c>
      <c r="B6" s="12"/>
      <c r="C6" s="12"/>
      <c r="D6" s="12"/>
      <c r="E6" s="12"/>
      <c r="F6" s="12"/>
    </row>
    <row r="7" s="1" customFormat="1" ht="160" customHeight="1" spans="1:6">
      <c r="A7" s="11" t="s">
        <v>77</v>
      </c>
      <c r="B7" s="12"/>
      <c r="C7" s="12"/>
      <c r="D7" s="12"/>
      <c r="E7" s="12"/>
      <c r="F7" s="12"/>
    </row>
    <row r="8" s="1" customFormat="1" ht="152" customHeight="1" spans="1:6">
      <c r="A8" s="11" t="s">
        <v>78</v>
      </c>
      <c r="B8" s="12"/>
      <c r="C8" s="12"/>
      <c r="D8" s="12"/>
      <c r="E8" s="12"/>
      <c r="F8" s="12"/>
    </row>
    <row r="9" s="1" customFormat="1" ht="71"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7"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79</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46132</v>
      </c>
      <c r="B5" s="8"/>
      <c r="C5" s="9">
        <f>A5</f>
        <v>46132</v>
      </c>
      <c r="D5" s="10" t="s">
        <v>6</v>
      </c>
      <c r="E5" s="10" t="s">
        <v>62</v>
      </c>
      <c r="F5" s="10" t="s">
        <v>8</v>
      </c>
    </row>
    <row r="6" s="1" customFormat="1" ht="115" customHeight="1" spans="1:6">
      <c r="A6" s="11" t="s">
        <v>33</v>
      </c>
      <c r="B6" s="12"/>
      <c r="C6" s="12"/>
      <c r="D6" s="12"/>
      <c r="E6" s="12"/>
      <c r="F6" s="12"/>
    </row>
    <row r="7" s="1" customFormat="1" ht="150" customHeight="1" spans="1:6">
      <c r="A7" s="11" t="s">
        <v>80</v>
      </c>
      <c r="B7" s="12"/>
      <c r="C7" s="12"/>
      <c r="D7" s="12"/>
      <c r="E7" s="12"/>
      <c r="F7" s="12"/>
    </row>
    <row r="8" s="1" customFormat="1" ht="146" customHeight="1" spans="1:6">
      <c r="A8" s="11" t="s">
        <v>81</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8"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82</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46133</v>
      </c>
      <c r="B5" s="8"/>
      <c r="C5" s="9">
        <f>A5</f>
        <v>46133</v>
      </c>
      <c r="D5" s="10" t="s">
        <v>61</v>
      </c>
      <c r="E5" s="10" t="s">
        <v>62</v>
      </c>
      <c r="F5" s="10" t="s">
        <v>8</v>
      </c>
    </row>
    <row r="6" s="1" customFormat="1" ht="115" customHeight="1" spans="1:6">
      <c r="A6" s="11" t="s">
        <v>33</v>
      </c>
      <c r="B6" s="12"/>
      <c r="C6" s="12"/>
      <c r="D6" s="12"/>
      <c r="E6" s="12"/>
      <c r="F6" s="12"/>
    </row>
    <row r="7" s="1" customFormat="1" ht="159" customHeight="1" spans="1:6">
      <c r="A7" s="11" t="s">
        <v>83</v>
      </c>
      <c r="B7" s="12"/>
      <c r="C7" s="12"/>
      <c r="D7" s="12"/>
      <c r="E7" s="12"/>
      <c r="F7" s="12"/>
    </row>
    <row r="8" s="1" customFormat="1" ht="157" customHeight="1" spans="1:6">
      <c r="A8" s="11" t="s">
        <v>84</v>
      </c>
      <c r="B8" s="12"/>
      <c r="C8" s="12"/>
      <c r="D8" s="12"/>
      <c r="E8" s="12"/>
      <c r="F8" s="12"/>
    </row>
    <row r="9" s="1" customFormat="1" ht="71"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tabSelected="1" view="pageBreakPreview" zoomScale="160" zoomScaleNormal="100" topLeftCell="A8" workbookViewId="0">
      <selection activeCell="I9" sqref="I9"/>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85</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46134</v>
      </c>
      <c r="B5" s="8"/>
      <c r="C5" s="9">
        <f>A5</f>
        <v>46134</v>
      </c>
      <c r="D5" s="10" t="s">
        <v>61</v>
      </c>
      <c r="E5" s="10" t="s">
        <v>62</v>
      </c>
      <c r="F5" s="10" t="s">
        <v>8</v>
      </c>
    </row>
    <row r="6" s="1" customFormat="1" ht="115" customHeight="1" spans="1:6">
      <c r="A6" s="11" t="s">
        <v>33</v>
      </c>
      <c r="B6" s="12"/>
      <c r="C6" s="12"/>
      <c r="D6" s="12"/>
      <c r="E6" s="12"/>
      <c r="F6" s="12"/>
    </row>
    <row r="7" s="1" customFormat="1" ht="149" customHeight="1" spans="1:6">
      <c r="A7" s="11" t="s">
        <v>86</v>
      </c>
      <c r="B7" s="12"/>
      <c r="C7" s="12"/>
      <c r="D7" s="12"/>
      <c r="E7" s="12"/>
      <c r="F7" s="12"/>
    </row>
    <row r="8" s="1" customFormat="1" ht="161" customHeight="1" spans="1:6">
      <c r="A8" s="11" t="s">
        <v>87</v>
      </c>
      <c r="B8" s="12"/>
      <c r="C8" s="12"/>
      <c r="D8" s="12"/>
      <c r="E8" s="12"/>
      <c r="F8" s="12"/>
    </row>
    <row r="9" s="1" customFormat="1" ht="73"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88</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46135</v>
      </c>
      <c r="B5" s="8"/>
      <c r="C5" s="9">
        <f>A5</f>
        <v>46135</v>
      </c>
      <c r="D5" s="10" t="s">
        <v>6</v>
      </c>
      <c r="E5" s="10" t="s">
        <v>62</v>
      </c>
      <c r="F5" s="10" t="s">
        <v>8</v>
      </c>
    </row>
    <row r="6" s="1" customFormat="1" ht="115" customHeight="1" spans="1:6">
      <c r="A6" s="11" t="s">
        <v>33</v>
      </c>
      <c r="B6" s="12"/>
      <c r="C6" s="12"/>
      <c r="D6" s="12"/>
      <c r="E6" s="12"/>
      <c r="F6" s="12"/>
    </row>
    <row r="7" s="1" customFormat="1" ht="148" customHeight="1" spans="1:6">
      <c r="A7" s="11" t="s">
        <v>89</v>
      </c>
      <c r="B7" s="12"/>
      <c r="C7" s="12"/>
      <c r="D7" s="12"/>
      <c r="E7" s="12"/>
      <c r="F7" s="12"/>
    </row>
    <row r="8" s="1" customFormat="1" ht="162" customHeight="1" spans="1:6">
      <c r="A8" s="11" t="s">
        <v>90</v>
      </c>
      <c r="B8" s="12"/>
      <c r="C8" s="12"/>
      <c r="D8" s="12"/>
      <c r="E8" s="12"/>
      <c r="F8" s="12"/>
    </row>
    <row r="9" s="1" customFormat="1" ht="76"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5"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91</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46136</v>
      </c>
      <c r="B5" s="8"/>
      <c r="C5" s="9">
        <f>A5</f>
        <v>46136</v>
      </c>
      <c r="D5" s="10" t="s">
        <v>6</v>
      </c>
      <c r="E5" s="10" t="s">
        <v>62</v>
      </c>
      <c r="F5" s="10" t="s">
        <v>8</v>
      </c>
    </row>
    <row r="6" s="1" customFormat="1" ht="115" customHeight="1" spans="1:6">
      <c r="A6" s="11" t="s">
        <v>33</v>
      </c>
      <c r="B6" s="12"/>
      <c r="C6" s="12"/>
      <c r="D6" s="12"/>
      <c r="E6" s="12"/>
      <c r="F6" s="12"/>
    </row>
    <row r="7" s="1" customFormat="1" ht="158" customHeight="1" spans="1:6">
      <c r="A7" s="11" t="s">
        <v>92</v>
      </c>
      <c r="B7" s="12"/>
      <c r="C7" s="12"/>
      <c r="D7" s="12"/>
      <c r="E7" s="12"/>
      <c r="F7" s="12"/>
    </row>
    <row r="8" s="1" customFormat="1" ht="125" customHeight="1" spans="1:6">
      <c r="A8" s="11" t="s">
        <v>93</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4"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94</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46137</v>
      </c>
      <c r="B5" s="8"/>
      <c r="C5" s="9">
        <f>A5</f>
        <v>46137</v>
      </c>
      <c r="D5" s="10" t="s">
        <v>6</v>
      </c>
      <c r="E5" s="10" t="s">
        <v>62</v>
      </c>
      <c r="F5" s="10" t="s">
        <v>8</v>
      </c>
    </row>
    <row r="6" s="1" customFormat="1" ht="115" customHeight="1" spans="1:6">
      <c r="A6" s="11" t="s">
        <v>33</v>
      </c>
      <c r="B6" s="12"/>
      <c r="C6" s="12"/>
      <c r="D6" s="12"/>
      <c r="E6" s="12"/>
      <c r="F6" s="12"/>
    </row>
    <row r="7" s="1" customFormat="1" ht="179" customHeight="1" spans="1:6">
      <c r="A7" s="11" t="s">
        <v>95</v>
      </c>
      <c r="B7" s="12"/>
      <c r="C7" s="12"/>
      <c r="D7" s="12"/>
      <c r="E7" s="12"/>
      <c r="F7" s="12"/>
    </row>
    <row r="8" s="1" customFormat="1" ht="102" customHeight="1" spans="1:6">
      <c r="A8" s="11" t="s">
        <v>96</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6"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97</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46138</v>
      </c>
      <c r="B5" s="8"/>
      <c r="C5" s="9">
        <f>A5</f>
        <v>46138</v>
      </c>
      <c r="D5" s="10" t="s">
        <v>6</v>
      </c>
      <c r="E5" s="10" t="s">
        <v>62</v>
      </c>
      <c r="F5" s="10" t="s">
        <v>8</v>
      </c>
    </row>
    <row r="6" s="1" customFormat="1" ht="115" customHeight="1" spans="1:6">
      <c r="A6" s="11" t="s">
        <v>33</v>
      </c>
      <c r="B6" s="12"/>
      <c r="C6" s="12"/>
      <c r="D6" s="12"/>
      <c r="E6" s="12"/>
      <c r="F6" s="12"/>
    </row>
    <row r="7" s="1" customFormat="1" ht="179" customHeight="1" spans="1:6">
      <c r="A7" s="11" t="s">
        <v>95</v>
      </c>
      <c r="B7" s="12"/>
      <c r="C7" s="12"/>
      <c r="D7" s="12"/>
      <c r="E7" s="12"/>
      <c r="F7" s="12"/>
    </row>
    <row r="8" s="1" customFormat="1" ht="102" customHeight="1" spans="1:6">
      <c r="A8" s="11" t="s">
        <v>98</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5"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99</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46139</v>
      </c>
      <c r="B5" s="8"/>
      <c r="C5" s="9">
        <f>A5</f>
        <v>46139</v>
      </c>
      <c r="D5" s="10" t="s">
        <v>6</v>
      </c>
      <c r="E5" s="10" t="s">
        <v>100</v>
      </c>
      <c r="F5" s="10" t="s">
        <v>8</v>
      </c>
    </row>
    <row r="6" s="1" customFormat="1" ht="115" customHeight="1" spans="1:6">
      <c r="A6" s="11" t="s">
        <v>33</v>
      </c>
      <c r="B6" s="12"/>
      <c r="C6" s="12"/>
      <c r="D6" s="12"/>
      <c r="E6" s="12"/>
      <c r="F6" s="12"/>
    </row>
    <row r="7" s="1" customFormat="1" ht="179" customHeight="1" spans="1:6">
      <c r="A7" s="11" t="s">
        <v>101</v>
      </c>
      <c r="B7" s="12"/>
      <c r="C7" s="12"/>
      <c r="D7" s="12"/>
      <c r="E7" s="12"/>
      <c r="F7" s="12"/>
    </row>
    <row r="8" s="1" customFormat="1" ht="102" customHeight="1" spans="1:6">
      <c r="A8" s="11" t="s">
        <v>102</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4" workbookViewId="0">
      <selection activeCell="A7" sqref="A7:F7"/>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103</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46140</v>
      </c>
      <c r="B5" s="8"/>
      <c r="C5" s="9">
        <f>A5</f>
        <v>46140</v>
      </c>
      <c r="D5" s="10" t="s">
        <v>6</v>
      </c>
      <c r="E5" s="10" t="s">
        <v>100</v>
      </c>
      <c r="F5" s="10" t="s">
        <v>8</v>
      </c>
    </row>
    <row r="6" s="1" customFormat="1" ht="115" customHeight="1" spans="1:6">
      <c r="A6" s="11" t="s">
        <v>33</v>
      </c>
      <c r="B6" s="12"/>
      <c r="C6" s="12"/>
      <c r="D6" s="12"/>
      <c r="E6" s="12"/>
      <c r="F6" s="12"/>
    </row>
    <row r="7" s="1" customFormat="1" ht="179" customHeight="1" spans="1:6">
      <c r="A7" s="11" t="s">
        <v>104</v>
      </c>
      <c r="B7" s="12"/>
      <c r="C7" s="12"/>
      <c r="D7" s="12"/>
      <c r="E7" s="12"/>
      <c r="F7" s="12"/>
    </row>
    <row r="8" s="1" customFormat="1" ht="102" customHeight="1" spans="1:6">
      <c r="A8" s="11" t="s">
        <v>105</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4" workbookViewId="0">
      <selection activeCell="A8" sqref="A8:F8"/>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106</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46141</v>
      </c>
      <c r="B5" s="8"/>
      <c r="C5" s="9">
        <f>A5</f>
        <v>46141</v>
      </c>
      <c r="D5" s="10" t="s">
        <v>107</v>
      </c>
      <c r="E5" s="10" t="s">
        <v>108</v>
      </c>
      <c r="F5" s="10" t="s">
        <v>8</v>
      </c>
    </row>
    <row r="6" s="1" customFormat="1" ht="115" customHeight="1" spans="1:6">
      <c r="A6" s="11" t="s">
        <v>109</v>
      </c>
      <c r="B6" s="12"/>
      <c r="C6" s="12"/>
      <c r="D6" s="12"/>
      <c r="E6" s="12"/>
      <c r="F6" s="12"/>
    </row>
    <row r="7" s="1" customFormat="1" ht="179" customHeight="1" spans="1:6">
      <c r="A7" s="11" t="s">
        <v>110</v>
      </c>
      <c r="B7" s="12"/>
      <c r="C7" s="12"/>
      <c r="D7" s="12"/>
      <c r="E7" s="12"/>
      <c r="F7" s="12"/>
    </row>
    <row r="8" s="1" customFormat="1" ht="102" customHeight="1" spans="1:6">
      <c r="A8" s="11" t="s">
        <v>111</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view="pageBreakPreview" zoomScale="160" zoomScaleNormal="100" topLeftCell="A7" workbookViewId="0">
      <selection activeCell="H3" sqref="H3"/>
    </sheetView>
  </sheetViews>
  <sheetFormatPr defaultColWidth="10" defaultRowHeight="14.25" outlineLevelCol="5"/>
  <cols>
    <col min="1" max="1" width="16.9333333333333" style="1" customWidth="1"/>
    <col min="2" max="2" width="4.21666666666667" style="1" customWidth="1"/>
    <col min="3" max="3" width="10.525" style="1" customWidth="1"/>
    <col min="4" max="4" width="29.5916666666667" style="1" customWidth="1"/>
    <col min="5" max="6" width="12.8333333333333" style="1" customWidth="1"/>
    <col min="7" max="16384" width="10" style="1"/>
  </cols>
  <sheetData>
    <row r="1" s="1" customFormat="1" ht="35" customHeight="1" spans="1:6">
      <c r="A1" s="2" t="s">
        <v>0</v>
      </c>
      <c r="B1" s="2"/>
      <c r="C1" s="2"/>
      <c r="D1" s="2"/>
      <c r="E1" s="2"/>
      <c r="F1" s="2"/>
    </row>
    <row r="2" s="1" customFormat="1" ht="35" customHeight="1" spans="1:6">
      <c r="A2" s="3" t="s">
        <v>112</v>
      </c>
      <c r="B2" s="4"/>
      <c r="C2" s="4"/>
      <c r="D2" s="4"/>
      <c r="E2" s="4"/>
      <c r="F2" s="4"/>
    </row>
    <row r="3" s="1" customFormat="1" ht="35" customHeight="1" spans="1:6">
      <c r="A3" s="5" t="s">
        <v>2</v>
      </c>
      <c r="B3" s="6" t="s">
        <v>3</v>
      </c>
      <c r="C3" s="6"/>
      <c r="D3" s="6"/>
      <c r="E3" s="6"/>
      <c r="F3" s="6"/>
    </row>
    <row r="4" s="1" customFormat="1" ht="35" customHeight="1" spans="1:6">
      <c r="A4" s="5" t="s">
        <v>4</v>
      </c>
      <c r="B4" s="6" t="s">
        <v>5</v>
      </c>
      <c r="C4" s="6"/>
      <c r="D4" s="6"/>
      <c r="E4" s="6"/>
      <c r="F4" s="6"/>
    </row>
    <row r="5" s="1" customFormat="1" ht="35" customHeight="1" spans="1:6">
      <c r="A5" s="7">
        <v>46142</v>
      </c>
      <c r="B5" s="8"/>
      <c r="C5" s="9">
        <f>A5</f>
        <v>46142</v>
      </c>
      <c r="D5" s="10" t="s">
        <v>107</v>
      </c>
      <c r="E5" s="10" t="s">
        <v>113</v>
      </c>
      <c r="F5" s="10" t="s">
        <v>8</v>
      </c>
    </row>
    <row r="6" s="1" customFormat="1" ht="115" customHeight="1" spans="1:6">
      <c r="A6" s="11" t="s">
        <v>109</v>
      </c>
      <c r="B6" s="12"/>
      <c r="C6" s="12"/>
      <c r="D6" s="12"/>
      <c r="E6" s="12"/>
      <c r="F6" s="12"/>
    </row>
    <row r="7" s="1" customFormat="1" ht="179" customHeight="1" spans="1:6">
      <c r="A7" s="11" t="s">
        <v>114</v>
      </c>
      <c r="B7" s="12"/>
      <c r="C7" s="12"/>
      <c r="D7" s="12"/>
      <c r="E7" s="12"/>
      <c r="F7" s="12"/>
    </row>
    <row r="8" s="1" customFormat="1" ht="102" customHeight="1" spans="1:6">
      <c r="A8" s="11" t="s">
        <v>115</v>
      </c>
      <c r="B8" s="12"/>
      <c r="C8" s="12"/>
      <c r="D8" s="12"/>
      <c r="E8" s="12"/>
      <c r="F8" s="12"/>
    </row>
    <row r="9" s="1" customFormat="1" ht="90.65" customHeight="1" spans="1:6">
      <c r="A9" s="11" t="s">
        <v>12</v>
      </c>
      <c r="B9" s="12"/>
      <c r="C9" s="12"/>
      <c r="D9" s="12"/>
      <c r="E9" s="12"/>
      <c r="F9" s="12"/>
    </row>
    <row r="10" s="1" customFormat="1" ht="13.5" customHeight="1" spans="1:6">
      <c r="A10" s="13" t="s">
        <v>13</v>
      </c>
      <c r="B10" s="4"/>
      <c r="C10" s="4"/>
      <c r="D10" s="4"/>
      <c r="E10" s="4"/>
      <c r="F10" s="4"/>
    </row>
  </sheetData>
  <mergeCells count="10">
    <mergeCell ref="A1:F1"/>
    <mergeCell ref="A2:F2"/>
    <mergeCell ref="B3:F3"/>
    <mergeCell ref="B4:F4"/>
    <mergeCell ref="A5:B5"/>
    <mergeCell ref="A6:F6"/>
    <mergeCell ref="A7:F7"/>
    <mergeCell ref="A8:F8"/>
    <mergeCell ref="A9:F9"/>
    <mergeCell ref="A10:F10"/>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30</vt:i4>
      </vt:variant>
    </vt:vector>
  </HeadingPairs>
  <TitlesOfParts>
    <vt:vector size="30" baseType="lpstr">
      <vt:lpstr>2026年4月1日</vt:lpstr>
      <vt:lpstr>2026年4月2日</vt:lpstr>
      <vt:lpstr>2026年4月3日</vt:lpstr>
      <vt:lpstr>2026年4月4日</vt:lpstr>
      <vt:lpstr>2026年4月5日</vt:lpstr>
      <vt:lpstr>2026年4月6日</vt:lpstr>
      <vt:lpstr>2026年4月7日</vt:lpstr>
      <vt:lpstr>2026年4月8日</vt:lpstr>
      <vt:lpstr>2026年4月9日</vt:lpstr>
      <vt:lpstr>2026年4月10日</vt:lpstr>
      <vt:lpstr>2026年4月11日</vt:lpstr>
      <vt:lpstr>2026年4月12日</vt:lpstr>
      <vt:lpstr>2026年4月13日</vt:lpstr>
      <vt:lpstr>2026年4月14日</vt:lpstr>
      <vt:lpstr>2026年4月15日</vt:lpstr>
      <vt:lpstr>2026年4月16日</vt:lpstr>
      <vt:lpstr>2026年4月17日</vt:lpstr>
      <vt:lpstr>2026年4月18日</vt:lpstr>
      <vt:lpstr>2026年4月19日</vt:lpstr>
      <vt:lpstr>2026年4月20日</vt:lpstr>
      <vt:lpstr>2026年4月21日</vt:lpstr>
      <vt:lpstr>2026年4月22日</vt:lpstr>
      <vt:lpstr>2026年4月23日</vt:lpstr>
      <vt:lpstr>2026年4月24日</vt:lpstr>
      <vt:lpstr>2026年4月25日</vt:lpstr>
      <vt:lpstr>2026年4月26日</vt:lpstr>
      <vt:lpstr>2026年4月27日</vt:lpstr>
      <vt:lpstr>2026年4月28日</vt:lpstr>
      <vt:lpstr>2026年4月29日</vt:lpstr>
      <vt:lpstr>2026年4月30日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wang'yun'jun</dc:creator>
  <cp:lastModifiedBy>RRR</cp:lastModifiedBy>
  <dcterms:created xsi:type="dcterms:W3CDTF">2025-05-21T01:11:00Z</dcterms:created>
  <dcterms:modified xsi:type="dcterms:W3CDTF">2026-07-19T02:14:22Z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677DA2ADBC24443DAC093A82036DE79F_13</vt:lpwstr>
  </property>
  <property fmtid="{D5CDD505-2E9C-101B-9397-08002B2CF9AE}" pid="3" name="KSOProductBuildVer">
    <vt:lpwstr>2052-12.1.0.26895</vt:lpwstr>
  </property>
  <property fmtid="{D5CDD505-2E9C-101B-9397-08002B2CF9AE}" pid="4" name="CalculationRule">
    <vt:i4>0</vt:i4>
  </property>
</Properties>
</file>